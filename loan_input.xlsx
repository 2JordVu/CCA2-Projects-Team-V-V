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pplicants" sheetId="1" state="visible" r:id="rId3"/>
    <sheet name="Assump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<sst xmlns="http://schemas.openxmlformats.org/spreadsheetml/2006/main" count="101" uniqueCount="77">
  <si>
    <t xml:space="preserve">Applicant_ID</t>
  </si>
  <si>
    <t xml:space="preserve">Name</t>
  </si>
  <si>
    <t xml:space="preserve">Age</t>
  </si>
  <si>
    <t xml:space="preserve">Annual_Income (INR)</t>
  </si>
  <si>
    <t xml:space="preserve">Credit_Score</t>
  </si>
  <si>
    <t xml:space="preserve">Employment_Years</t>
  </si>
  <si>
    <t xml:space="preserve">Existing_Monthly_EMI (INR)</t>
  </si>
  <si>
    <t xml:space="preserve">Loan_Amount (INR)</t>
  </si>
  <si>
    <t xml:space="preserve">Loan_Term_Years</t>
  </si>
  <si>
    <t xml:space="preserve">Monthly_Income (INR)</t>
  </si>
  <si>
    <t xml:space="preserve">Proposed_EMI (INR)</t>
  </si>
  <si>
    <t xml:space="preserve">DTI (total EMI / income)</t>
  </si>
  <si>
    <t xml:space="preserve">Loan_to_Income (x)</t>
  </si>
  <si>
    <t xml:space="preserve">Credit_Band</t>
  </si>
  <si>
    <t xml:space="preserve">DTI_Band</t>
  </si>
  <si>
    <t xml:space="preserve">Past_Decision (label)</t>
  </si>
  <si>
    <t xml:space="preserve">APP001</t>
  </si>
  <si>
    <t xml:space="preserve">Aarav Sharma</t>
  </si>
  <si>
    <t xml:space="preserve">Rejected</t>
  </si>
  <si>
    <t xml:space="preserve">APP002</t>
  </si>
  <si>
    <t xml:space="preserve">Priya Nair</t>
  </si>
  <si>
    <t xml:space="preserve">Approved</t>
  </si>
  <si>
    <t xml:space="preserve">APP003</t>
  </si>
  <si>
    <t xml:space="preserve">Rohan Mehta</t>
  </si>
  <si>
    <t xml:space="preserve">APP004</t>
  </si>
  <si>
    <t xml:space="preserve">Ananya Iyer</t>
  </si>
  <si>
    <t xml:space="preserve">APP005</t>
  </si>
  <si>
    <t xml:space="preserve">Vikram Singh</t>
  </si>
  <si>
    <t xml:space="preserve">APP006</t>
  </si>
  <si>
    <t xml:space="preserve">Sneha Reddy</t>
  </si>
  <si>
    <t xml:space="preserve">APP007</t>
  </si>
  <si>
    <t xml:space="preserve">Arjun Patel</t>
  </si>
  <si>
    <t xml:space="preserve">APP008</t>
  </si>
  <si>
    <t xml:space="preserve">Kavya Menon</t>
  </si>
  <si>
    <t xml:space="preserve">APP009</t>
  </si>
  <si>
    <t xml:space="preserve">Rahul Verma</t>
  </si>
  <si>
    <t xml:space="preserve">APP010</t>
  </si>
  <si>
    <t xml:space="preserve">Neha Gupta</t>
  </si>
  <si>
    <t xml:space="preserve">APP011</t>
  </si>
  <si>
    <t xml:space="preserve">Karan Malhotra</t>
  </si>
  <si>
    <t xml:space="preserve">APP012</t>
  </si>
  <si>
    <t xml:space="preserve">Divya Krishnan</t>
  </si>
  <si>
    <t xml:space="preserve">APP013</t>
  </si>
  <si>
    <t xml:space="preserve">Siddharth Rao</t>
  </si>
  <si>
    <t xml:space="preserve">APP014</t>
  </si>
  <si>
    <t xml:space="preserve">Pooja Joshi</t>
  </si>
  <si>
    <t xml:space="preserve">APP015</t>
  </si>
  <si>
    <t xml:space="preserve">Amit Kulkarni</t>
  </si>
  <si>
    <t xml:space="preserve">APP016</t>
  </si>
  <si>
    <t xml:space="preserve">Ishita Bansal</t>
  </si>
  <si>
    <t xml:space="preserve">APP017</t>
  </si>
  <si>
    <t xml:space="preserve">Manish Yadav</t>
  </si>
  <si>
    <t xml:space="preserve">APP018</t>
  </si>
  <si>
    <t xml:space="preserve">Ritu Chatterjee</t>
  </si>
  <si>
    <t xml:space="preserve">APP019</t>
  </si>
  <si>
    <t xml:space="preserve">Harsh Agarwal</t>
  </si>
  <si>
    <t xml:space="preserve">APP020</t>
  </si>
  <si>
    <t xml:space="preserve">Meera Pillai</t>
  </si>
  <si>
    <t xml:space="preserve">Blue font = input numbers you can edit. White-on-light-blue headers (J:O) = formulas that update automatically. Past_Decision = historical label used to train the ML model.</t>
  </si>
  <si>
    <t xml:space="preserve">Parameter</t>
  </si>
  <si>
    <t xml:space="preserve">Value</t>
  </si>
  <si>
    <t xml:space="preserve">Used for</t>
  </si>
  <si>
    <t xml:space="preserve">Annual interest rate</t>
  </si>
  <si>
    <t xml:space="preserve">Proposed EMI = PMT(rate/12, term x 12, loan)</t>
  </si>
  <si>
    <t xml:space="preserve">Credit band: Excellent from (score)</t>
  </si>
  <si>
    <t xml:space="preserve">Credit band: Good from (score)</t>
  </si>
  <si>
    <t xml:space="preserve">Credit band: Fair from (score)</t>
  </si>
  <si>
    <t xml:space="preserve">Credit_Band (below this = Poor)</t>
  </si>
  <si>
    <t xml:space="preserve">DTI band: Low up to</t>
  </si>
  <si>
    <t xml:space="preserve">DTI band: Moderate up to</t>
  </si>
  <si>
    <t xml:space="preserve">DTI_Band (above this = High)</t>
  </si>
  <si>
    <t xml:space="preserve">Rule 1: minimum credit score</t>
  </si>
  <si>
    <t xml:space="preserve">Traditional rule-based decision</t>
  </si>
  <si>
    <t xml:space="preserve">Rule 2: maximum DTI (total EMI / monthly income)</t>
  </si>
  <si>
    <t xml:space="preserve">Rule 3: minimum employment (years)</t>
  </si>
  <si>
    <t xml:space="preserve">Rule 4: maximum Loan-to-Income (x annual income)</t>
  </si>
  <si>
    <t xml:space="preserve">Blue = editable input. Change any value here (or on the Applicants sheet) and all dependent columns recalculate.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</si>
</sst>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[&gt;=10000000]##\,##\,##\,##0;[&gt;=100000]##\,##\,##0;##,##0"/>
    <numFmt numFmtId="166" formatCode="0.0%"/>
    <numFmt numFmtId="167" formatCode="0.00"/>
    <numFmt numFmtId="168" formatCode="0"/>
    <numFmt numFmtId="169" formatCode="0.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i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7F6000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6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8" min="7" style="0" width="16"/>
    <col collapsed="false" customWidth="true" hidden="false" outlineLevel="0" max="9" min="9" style="0" width="10"/>
    <col collapsed="false" customWidth="true" hidden="false" outlineLevel="0" max="11" min="10" style="0" width="15"/>
    <col collapsed="false" customWidth="true" hidden="false" outlineLevel="0" max="12" min="12" style="0" width="14"/>
    <col collapsed="false" customWidth="true" hidden="false" outlineLevel="0" max="14" min="13" style="0" width="12"/>
    <col collapsed="false" customWidth="true" hidden="false" outlineLevel="0" max="15" min="15" style="0" width="11"/>
    <col collapsed="false" customWidth="true" hidden="false" outlineLevel="0" max="16" min="16" style="0" width="14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customFormat="false" ht="15" hidden="false" customHeight="false" outlineLevel="0" collapsed="false">
      <c r="A2" s="4" t="s">
        <v>16</v>
      </c>
      <c r="B2" s="4" t="s">
        <v>17</v>
      </c>
      <c r="C2" s="5" t="n">
        <v>28</v>
      </c>
      <c r="D2" s="6" t="n">
        <v>1280000</v>
      </c>
      <c r="E2" s="5" t="n">
        <v>774</v>
      </c>
      <c r="F2" s="5" t="n">
        <v>3</v>
      </c>
      <c r="G2" s="6" t="n">
        <v>0</v>
      </c>
      <c r="H2" s="6" t="n">
        <v>3350000</v>
      </c>
      <c r="I2" s="5" t="n">
        <v>7</v>
      </c>
      <c r="J2" s="7" t="n">
        <f aca="false">D2/12</f>
        <v>106666.666666667</v>
      </c>
      <c r="K2" s="7" t="n">
        <f aca="false">-PMT(Assumptions!$B$2/12,I2*12,H2)</f>
        <v>56483.2550482074</v>
      </c>
      <c r="L2" s="8" t="n">
        <f aca="false">(G2+K2)/J2</f>
        <v>0.529530516076945</v>
      </c>
      <c r="M2" s="9" t="n">
        <f aca="false">H2/D2</f>
        <v>2.6171875</v>
      </c>
      <c r="N2" s="4" t="str">
        <f aca="false">IF(E2&gt;=Assumptions!$B$3,"Excellent",IF(E2&gt;=Assumptions!$B$4,"Good",IF(E2&gt;=Assumptions!$B$5,"Fair","Poor")))</f>
        <v>Excellent</v>
      </c>
      <c r="O2" s="4" t="str">
        <f aca="false">IF(L2&lt;=Assumptions!$B$6,"Low",IF(L2&lt;=Assumptions!$B$7,"Moderate","High"))</f>
        <v>High</v>
      </c>
      <c r="P2" s="5" t="s">
        <v>18</v>
      </c>
    </row>
    <row r="3" customFormat="false" ht="15" hidden="false" customHeight="false" outlineLevel="0" collapsed="false">
      <c r="A3" s="4" t="s">
        <v>19</v>
      </c>
      <c r="B3" s="4" t="s">
        <v>20</v>
      </c>
      <c r="C3" s="5" t="n">
        <v>25</v>
      </c>
      <c r="D3" s="6" t="n">
        <v>720000</v>
      </c>
      <c r="E3" s="5" t="n">
        <v>768</v>
      </c>
      <c r="F3" s="5" t="n">
        <v>1</v>
      </c>
      <c r="G3" s="6" t="n">
        <v>0</v>
      </c>
      <c r="H3" s="6" t="n">
        <v>1300000</v>
      </c>
      <c r="I3" s="5" t="n">
        <v>10</v>
      </c>
      <c r="J3" s="7" t="n">
        <f aca="false">D3/12</f>
        <v>60000</v>
      </c>
      <c r="K3" s="7" t="n">
        <f aca="false">-PMT(Assumptions!$B$2/12,I3*12,H3)</f>
        <v>17541.5495808211</v>
      </c>
      <c r="L3" s="8" t="n">
        <f aca="false">(G3+K3)/J3</f>
        <v>0.292359159680352</v>
      </c>
      <c r="M3" s="9" t="n">
        <f aca="false">H3/D3</f>
        <v>1.80555555555556</v>
      </c>
      <c r="N3" s="4" t="str">
        <f aca="false">IF(E3&gt;=Assumptions!$B$3,"Excellent",IF(E3&gt;=Assumptions!$B$4,"Good",IF(E3&gt;=Assumptions!$B$5,"Fair","Poor")))</f>
        <v>Excellent</v>
      </c>
      <c r="O3" s="4" t="str">
        <f aca="false">IF(L3&lt;=Assumptions!$B$6,"Low",IF(L3&lt;=Assumptions!$B$7,"Moderate","High"))</f>
        <v>Low</v>
      </c>
      <c r="P3" s="5" t="s">
        <v>21</v>
      </c>
    </row>
    <row r="4" customFormat="false" ht="15" hidden="false" customHeight="false" outlineLevel="0" collapsed="false">
      <c r="A4" s="4" t="s">
        <v>22</v>
      </c>
      <c r="B4" s="4" t="s">
        <v>23</v>
      </c>
      <c r="C4" s="5" t="n">
        <v>32</v>
      </c>
      <c r="D4" s="6" t="n">
        <v>320000</v>
      </c>
      <c r="E4" s="5" t="n">
        <v>659</v>
      </c>
      <c r="F4" s="5" t="n">
        <v>7</v>
      </c>
      <c r="G4" s="6" t="n">
        <v>1500</v>
      </c>
      <c r="H4" s="6" t="n">
        <v>800000</v>
      </c>
      <c r="I4" s="5" t="n">
        <v>15</v>
      </c>
      <c r="J4" s="7" t="n">
        <f aca="false">D4/12</f>
        <v>26666.6666666667</v>
      </c>
      <c r="K4" s="7" t="n">
        <f aca="false">-PMT(Assumptions!$B$2/12,I4*12,H4)</f>
        <v>8843.19138957736</v>
      </c>
      <c r="L4" s="8" t="n">
        <f aca="false">(G4+K4)/J4</f>
        <v>0.387869677109151</v>
      </c>
      <c r="M4" s="9" t="n">
        <f aca="false">H4/D4</f>
        <v>2.5</v>
      </c>
      <c r="N4" s="4" t="str">
        <f aca="false">IF(E4&gt;=Assumptions!$B$3,"Excellent",IF(E4&gt;=Assumptions!$B$4,"Good",IF(E4&gt;=Assumptions!$B$5,"Fair","Poor")))</f>
        <v>Fair</v>
      </c>
      <c r="O4" s="4" t="str">
        <f aca="false">IF(L4&lt;=Assumptions!$B$6,"Low",IF(L4&lt;=Assumptions!$B$7,"Moderate","High"))</f>
        <v>Moderate</v>
      </c>
      <c r="P4" s="5" t="s">
        <v>18</v>
      </c>
    </row>
    <row r="5" customFormat="false" ht="15" hidden="false" customHeight="false" outlineLevel="0" collapsed="false">
      <c r="A5" s="4" t="s">
        <v>24</v>
      </c>
      <c r="B5" s="4" t="s">
        <v>25</v>
      </c>
      <c r="C5" s="5" t="n">
        <v>37</v>
      </c>
      <c r="D5" s="6" t="n">
        <v>830000</v>
      </c>
      <c r="E5" s="5" t="n">
        <v>713</v>
      </c>
      <c r="F5" s="5" t="n">
        <v>8</v>
      </c>
      <c r="G5" s="6" t="n">
        <v>9000</v>
      </c>
      <c r="H5" s="6" t="n">
        <v>1200000</v>
      </c>
      <c r="I5" s="5" t="n">
        <v>20</v>
      </c>
      <c r="J5" s="7" t="n">
        <f aca="false">D5/12</f>
        <v>69166.6666666667</v>
      </c>
      <c r="K5" s="7" t="n">
        <f aca="false">-PMT(Assumptions!$B$2/12,I5*12,H5)</f>
        <v>11980.5586436339</v>
      </c>
      <c r="L5" s="8" t="n">
        <f aca="false">(G5+K5)/J5</f>
        <v>0.30333337798025</v>
      </c>
      <c r="M5" s="9" t="n">
        <f aca="false">H5/D5</f>
        <v>1.44578313253012</v>
      </c>
      <c r="N5" s="4" t="str">
        <f aca="false">IF(E5&gt;=Assumptions!$B$3,"Excellent",IF(E5&gt;=Assumptions!$B$4,"Good",IF(E5&gt;=Assumptions!$B$5,"Fair","Poor")))</f>
        <v>Good</v>
      </c>
      <c r="O5" s="4" t="str">
        <f aca="false">IF(L5&lt;=Assumptions!$B$6,"Low",IF(L5&lt;=Assumptions!$B$7,"Moderate","High"))</f>
        <v>Moderate</v>
      </c>
      <c r="P5" s="5" t="s">
        <v>21</v>
      </c>
    </row>
    <row r="6" customFormat="false" ht="15" hidden="false" customHeight="false" outlineLevel="0" collapsed="false">
      <c r="A6" s="4" t="s">
        <v>26</v>
      </c>
      <c r="B6" s="4" t="s">
        <v>27</v>
      </c>
      <c r="C6" s="5" t="n">
        <v>42</v>
      </c>
      <c r="D6" s="6" t="n">
        <v>450000</v>
      </c>
      <c r="E6" s="5" t="n">
        <v>776</v>
      </c>
      <c r="F6" s="5" t="n">
        <v>12</v>
      </c>
      <c r="G6" s="6" t="n">
        <v>3000</v>
      </c>
      <c r="H6" s="6" t="n">
        <v>900000</v>
      </c>
      <c r="I6" s="5" t="n">
        <v>7</v>
      </c>
      <c r="J6" s="7" t="n">
        <f aca="false">D6/12</f>
        <v>37500</v>
      </c>
      <c r="K6" s="7" t="n">
        <f aca="false">-PMT(Assumptions!$B$2/12,I6*12,H6)</f>
        <v>15174.6058338468</v>
      </c>
      <c r="L6" s="8" t="n">
        <f aca="false">(G6+K6)/J6</f>
        <v>0.484656155569247</v>
      </c>
      <c r="M6" s="9" t="n">
        <f aca="false">H6/D6</f>
        <v>2</v>
      </c>
      <c r="N6" s="4" t="str">
        <f aca="false">IF(E6&gt;=Assumptions!$B$3,"Excellent",IF(E6&gt;=Assumptions!$B$4,"Good",IF(E6&gt;=Assumptions!$B$5,"Fair","Poor")))</f>
        <v>Excellent</v>
      </c>
      <c r="O6" s="4" t="str">
        <f aca="false">IF(L6&lt;=Assumptions!$B$6,"Low",IF(L6&lt;=Assumptions!$B$7,"Moderate","High"))</f>
        <v>High</v>
      </c>
      <c r="P6" s="5" t="s">
        <v>18</v>
      </c>
    </row>
    <row r="7" customFormat="false" ht="15" hidden="false" customHeight="false" outlineLevel="0" collapsed="false">
      <c r="A7" s="4" t="s">
        <v>28</v>
      </c>
      <c r="B7" s="4" t="s">
        <v>29</v>
      </c>
      <c r="C7" s="5" t="n">
        <v>35</v>
      </c>
      <c r="D7" s="6" t="n">
        <v>820000</v>
      </c>
      <c r="E7" s="5" t="n">
        <v>694</v>
      </c>
      <c r="F7" s="5" t="n">
        <v>9</v>
      </c>
      <c r="G7" s="6" t="n">
        <v>0</v>
      </c>
      <c r="H7" s="6" t="n">
        <v>1900000</v>
      </c>
      <c r="I7" s="5" t="n">
        <v>10</v>
      </c>
      <c r="J7" s="7" t="n">
        <f aca="false">D7/12</f>
        <v>68333.3333333333</v>
      </c>
      <c r="K7" s="7" t="n">
        <f aca="false">-PMT(Assumptions!$B$2/12,I7*12,H7)</f>
        <v>25637.6493873539</v>
      </c>
      <c r="L7" s="8" t="n">
        <f aca="false">(G7+K7)/J7</f>
        <v>0.375185112985667</v>
      </c>
      <c r="M7" s="9" t="n">
        <f aca="false">H7/D7</f>
        <v>2.31707317073171</v>
      </c>
      <c r="N7" s="4" t="str">
        <f aca="false">IF(E7&gt;=Assumptions!$B$3,"Excellent",IF(E7&gt;=Assumptions!$B$4,"Good",IF(E7&gt;=Assumptions!$B$5,"Fair","Poor")))</f>
        <v>Fair</v>
      </c>
      <c r="O7" s="4" t="str">
        <f aca="false">IF(L7&lt;=Assumptions!$B$6,"Low",IF(L7&lt;=Assumptions!$B$7,"Moderate","High"))</f>
        <v>Moderate</v>
      </c>
      <c r="P7" s="5" t="s">
        <v>21</v>
      </c>
    </row>
    <row r="8" customFormat="false" ht="15" hidden="false" customHeight="false" outlineLevel="0" collapsed="false">
      <c r="A8" s="4" t="s">
        <v>30</v>
      </c>
      <c r="B8" s="4" t="s">
        <v>31</v>
      </c>
      <c r="C8" s="5" t="n">
        <v>30</v>
      </c>
      <c r="D8" s="6" t="n">
        <v>800000</v>
      </c>
      <c r="E8" s="5" t="n">
        <v>726</v>
      </c>
      <c r="F8" s="5" t="n">
        <v>6</v>
      </c>
      <c r="G8" s="6" t="n">
        <v>9000</v>
      </c>
      <c r="H8" s="6" t="n">
        <v>1350000</v>
      </c>
      <c r="I8" s="5" t="n">
        <v>7</v>
      </c>
      <c r="J8" s="7" t="n">
        <f aca="false">D8/12</f>
        <v>66666.6666666667</v>
      </c>
      <c r="K8" s="7" t="n">
        <f aca="false">-PMT(Assumptions!$B$2/12,I8*12,H8)</f>
        <v>22761.9087507702</v>
      </c>
      <c r="L8" s="8" t="n">
        <f aca="false">(G8+K8)/J8</f>
        <v>0.476428631261552</v>
      </c>
      <c r="M8" s="9" t="n">
        <f aca="false">H8/D8</f>
        <v>1.6875</v>
      </c>
      <c r="N8" s="4" t="str">
        <f aca="false">IF(E8&gt;=Assumptions!$B$3,"Excellent",IF(E8&gt;=Assumptions!$B$4,"Good",IF(E8&gt;=Assumptions!$B$5,"Fair","Poor")))</f>
        <v>Good</v>
      </c>
      <c r="O8" s="4" t="str">
        <f aca="false">IF(L8&lt;=Assumptions!$B$6,"Low",IF(L8&lt;=Assumptions!$B$7,"Moderate","High"))</f>
        <v>High</v>
      </c>
      <c r="P8" s="5" t="s">
        <v>18</v>
      </c>
    </row>
    <row r="9" customFormat="false" ht="15" hidden="false" customHeight="false" outlineLevel="0" collapsed="false">
      <c r="A9" s="4" t="s">
        <v>32</v>
      </c>
      <c r="B9" s="4" t="s">
        <v>33</v>
      </c>
      <c r="C9" s="5" t="n">
        <v>29</v>
      </c>
      <c r="D9" s="6" t="n">
        <v>320000</v>
      </c>
      <c r="E9" s="5" t="n">
        <v>692</v>
      </c>
      <c r="F9" s="5" t="n">
        <v>7</v>
      </c>
      <c r="G9" s="6" t="n">
        <v>1500</v>
      </c>
      <c r="H9" s="6" t="n">
        <v>700000</v>
      </c>
      <c r="I9" s="5" t="n">
        <v>15</v>
      </c>
      <c r="J9" s="7" t="n">
        <f aca="false">D9/12</f>
        <v>26666.6666666667</v>
      </c>
      <c r="K9" s="7" t="n">
        <f aca="false">-PMT(Assumptions!$B$2/12,I9*12,H9)</f>
        <v>7737.79246588019</v>
      </c>
      <c r="L9" s="8" t="n">
        <f aca="false">(G9+K9)/J9</f>
        <v>0.346417217470507</v>
      </c>
      <c r="M9" s="9" t="n">
        <f aca="false">H9/D9</f>
        <v>2.1875</v>
      </c>
      <c r="N9" s="4" t="str">
        <f aca="false">IF(E9&gt;=Assumptions!$B$3,"Excellent",IF(E9&gt;=Assumptions!$B$4,"Good",IF(E9&gt;=Assumptions!$B$5,"Fair","Poor")))</f>
        <v>Fair</v>
      </c>
      <c r="O9" s="4" t="str">
        <f aca="false">IF(L9&lt;=Assumptions!$B$6,"Low",IF(L9&lt;=Assumptions!$B$7,"Moderate","High"))</f>
        <v>Moderate</v>
      </c>
      <c r="P9" s="5" t="s">
        <v>21</v>
      </c>
    </row>
    <row r="10" customFormat="false" ht="15" hidden="false" customHeight="false" outlineLevel="0" collapsed="false">
      <c r="A10" s="4" t="s">
        <v>34</v>
      </c>
      <c r="B10" s="4" t="s">
        <v>35</v>
      </c>
      <c r="C10" s="5" t="n">
        <v>39</v>
      </c>
      <c r="D10" s="6" t="n">
        <v>780000</v>
      </c>
      <c r="E10" s="5" t="n">
        <v>749</v>
      </c>
      <c r="F10" s="5" t="n">
        <v>16</v>
      </c>
      <c r="G10" s="6" t="n">
        <v>12500</v>
      </c>
      <c r="H10" s="6" t="n">
        <v>1750000</v>
      </c>
      <c r="I10" s="5" t="n">
        <v>5</v>
      </c>
      <c r="J10" s="7" t="n">
        <f aca="false">D10/12</f>
        <v>65000</v>
      </c>
      <c r="K10" s="7" t="n">
        <f aca="false">-PMT(Assumptions!$B$2/12,I10*12,H10)</f>
        <v>37614.3256617056</v>
      </c>
      <c r="L10" s="8" t="n">
        <f aca="false">(G10+K10)/J10</f>
        <v>0.770989625564701</v>
      </c>
      <c r="M10" s="9" t="n">
        <f aca="false">H10/D10</f>
        <v>2.24358974358974</v>
      </c>
      <c r="N10" s="4" t="str">
        <f aca="false">IF(E10&gt;=Assumptions!$B$3,"Excellent",IF(E10&gt;=Assumptions!$B$4,"Good",IF(E10&gt;=Assumptions!$B$5,"Fair","Poor")))</f>
        <v>Good</v>
      </c>
      <c r="O10" s="4" t="str">
        <f aca="false">IF(L10&lt;=Assumptions!$B$6,"Low",IF(L10&lt;=Assumptions!$B$7,"Moderate","High"))</f>
        <v>High</v>
      </c>
      <c r="P10" s="5" t="s">
        <v>18</v>
      </c>
    </row>
    <row r="11" customFormat="false" ht="15" hidden="false" customHeight="false" outlineLevel="0" collapsed="false">
      <c r="A11" s="4" t="s">
        <v>36</v>
      </c>
      <c r="B11" s="4" t="s">
        <v>37</v>
      </c>
      <c r="C11" s="5" t="n">
        <v>45</v>
      </c>
      <c r="D11" s="6" t="n">
        <v>670000</v>
      </c>
      <c r="E11" s="5" t="n">
        <v>691</v>
      </c>
      <c r="F11" s="5" t="n">
        <v>3</v>
      </c>
      <c r="G11" s="6" t="n">
        <v>4500</v>
      </c>
      <c r="H11" s="6" t="n">
        <v>300000</v>
      </c>
      <c r="I11" s="5" t="n">
        <v>15</v>
      </c>
      <c r="J11" s="7" t="n">
        <f aca="false">D11/12</f>
        <v>55833.3333333333</v>
      </c>
      <c r="K11" s="7" t="n">
        <f aca="false">-PMT(Assumptions!$B$2/12,I11*12,H11)</f>
        <v>3316.19677109151</v>
      </c>
      <c r="L11" s="8" t="n">
        <f aca="false">(G11+K11)/J11</f>
        <v>0.139991583959848</v>
      </c>
      <c r="M11" s="9" t="n">
        <f aca="false">H11/D11</f>
        <v>0.447761194029851</v>
      </c>
      <c r="N11" s="4" t="str">
        <f aca="false">IF(E11&gt;=Assumptions!$B$3,"Excellent",IF(E11&gt;=Assumptions!$B$4,"Good",IF(E11&gt;=Assumptions!$B$5,"Fair","Poor")))</f>
        <v>Fair</v>
      </c>
      <c r="O11" s="4" t="str">
        <f aca="false">IF(L11&lt;=Assumptions!$B$6,"Low",IF(L11&lt;=Assumptions!$B$7,"Moderate","High"))</f>
        <v>Low</v>
      </c>
      <c r="P11" s="5" t="s">
        <v>21</v>
      </c>
    </row>
    <row r="12" customFormat="false" ht="15" hidden="false" customHeight="false" outlineLevel="0" collapsed="false">
      <c r="A12" s="4" t="s">
        <v>38</v>
      </c>
      <c r="B12" s="4" t="s">
        <v>39</v>
      </c>
      <c r="C12" s="5" t="n">
        <v>36</v>
      </c>
      <c r="D12" s="6" t="n">
        <v>1240000</v>
      </c>
      <c r="E12" s="5" t="n">
        <v>718</v>
      </c>
      <c r="F12" s="5" t="n">
        <v>9</v>
      </c>
      <c r="G12" s="6" t="n">
        <v>12000</v>
      </c>
      <c r="H12" s="6" t="n">
        <v>600000</v>
      </c>
      <c r="I12" s="5" t="n">
        <v>10</v>
      </c>
      <c r="J12" s="7" t="n">
        <f aca="false">D12/12</f>
        <v>103333.333333333</v>
      </c>
      <c r="K12" s="7" t="n">
        <f aca="false">-PMT(Assumptions!$B$2/12,I12*12,H12)</f>
        <v>8096.09980653282</v>
      </c>
      <c r="L12" s="8" t="n">
        <f aca="false">(G12+K12)/J12</f>
        <v>0.194478385224511</v>
      </c>
      <c r="M12" s="9" t="n">
        <f aca="false">H12/D12</f>
        <v>0.483870967741936</v>
      </c>
      <c r="N12" s="4" t="str">
        <f aca="false">IF(E12&gt;=Assumptions!$B$3,"Excellent",IF(E12&gt;=Assumptions!$B$4,"Good",IF(E12&gt;=Assumptions!$B$5,"Fair","Poor")))</f>
        <v>Good</v>
      </c>
      <c r="O12" s="4" t="str">
        <f aca="false">IF(L12&lt;=Assumptions!$B$6,"Low",IF(L12&lt;=Assumptions!$B$7,"Moderate","High"))</f>
        <v>Low</v>
      </c>
      <c r="P12" s="5" t="s">
        <v>21</v>
      </c>
    </row>
    <row r="13" customFormat="false" ht="15" hidden="false" customHeight="false" outlineLevel="0" collapsed="false">
      <c r="A13" s="4" t="s">
        <v>40</v>
      </c>
      <c r="B13" s="4" t="s">
        <v>41</v>
      </c>
      <c r="C13" s="5" t="n">
        <v>25</v>
      </c>
      <c r="D13" s="6" t="n">
        <v>430000</v>
      </c>
      <c r="E13" s="5" t="n">
        <v>713</v>
      </c>
      <c r="F13" s="5" t="n">
        <v>0</v>
      </c>
      <c r="G13" s="6" t="n">
        <v>0</v>
      </c>
      <c r="H13" s="6" t="n">
        <v>350000</v>
      </c>
      <c r="I13" s="5" t="n">
        <v>10</v>
      </c>
      <c r="J13" s="7" t="n">
        <f aca="false">D13/12</f>
        <v>35833.3333333333</v>
      </c>
      <c r="K13" s="7" t="n">
        <f aca="false">-PMT(Assumptions!$B$2/12,I13*12,H13)</f>
        <v>4722.72488714415</v>
      </c>
      <c r="L13" s="8" t="n">
        <f aca="false">(G13+K13)/J13</f>
        <v>0.13179697359472</v>
      </c>
      <c r="M13" s="9" t="n">
        <f aca="false">H13/D13</f>
        <v>0.813953488372093</v>
      </c>
      <c r="N13" s="4" t="str">
        <f aca="false">IF(E13&gt;=Assumptions!$B$3,"Excellent",IF(E13&gt;=Assumptions!$B$4,"Good",IF(E13&gt;=Assumptions!$B$5,"Fair","Poor")))</f>
        <v>Good</v>
      </c>
      <c r="O13" s="4" t="str">
        <f aca="false">IF(L13&lt;=Assumptions!$B$6,"Low",IF(L13&lt;=Assumptions!$B$7,"Moderate","High"))</f>
        <v>Low</v>
      </c>
      <c r="P13" s="5" t="s">
        <v>21</v>
      </c>
    </row>
    <row r="14" customFormat="false" ht="15" hidden="false" customHeight="false" outlineLevel="0" collapsed="false">
      <c r="A14" s="4" t="s">
        <v>42</v>
      </c>
      <c r="B14" s="4" t="s">
        <v>43</v>
      </c>
      <c r="C14" s="5" t="n">
        <v>27</v>
      </c>
      <c r="D14" s="6" t="n">
        <v>1070000</v>
      </c>
      <c r="E14" s="5" t="n">
        <v>729</v>
      </c>
      <c r="F14" s="5" t="n">
        <v>4</v>
      </c>
      <c r="G14" s="6" t="n">
        <v>0</v>
      </c>
      <c r="H14" s="6" t="n">
        <v>1000000</v>
      </c>
      <c r="I14" s="5" t="n">
        <v>10</v>
      </c>
      <c r="J14" s="7" t="n">
        <f aca="false">D14/12</f>
        <v>89166.6666666667</v>
      </c>
      <c r="K14" s="7" t="n">
        <f aca="false">-PMT(Assumptions!$B$2/12,I14*12,H14)</f>
        <v>13493.4996775547</v>
      </c>
      <c r="L14" s="8" t="n">
        <f aca="false">(G14+K14)/J14</f>
        <v>0.151328968346408</v>
      </c>
      <c r="M14" s="9" t="n">
        <f aca="false">H14/D14</f>
        <v>0.934579439252336</v>
      </c>
      <c r="N14" s="4" t="str">
        <f aca="false">IF(E14&gt;=Assumptions!$B$3,"Excellent",IF(E14&gt;=Assumptions!$B$4,"Good",IF(E14&gt;=Assumptions!$B$5,"Fair","Poor")))</f>
        <v>Good</v>
      </c>
      <c r="O14" s="4" t="str">
        <f aca="false">IF(L14&lt;=Assumptions!$B$6,"Low",IF(L14&lt;=Assumptions!$B$7,"Moderate","High"))</f>
        <v>Low</v>
      </c>
      <c r="P14" s="5" t="s">
        <v>21</v>
      </c>
    </row>
    <row r="15" customFormat="false" ht="15" hidden="false" customHeight="false" outlineLevel="0" collapsed="false">
      <c r="A15" s="4" t="s">
        <v>44</v>
      </c>
      <c r="B15" s="4" t="s">
        <v>45</v>
      </c>
      <c r="C15" s="5" t="n">
        <v>45</v>
      </c>
      <c r="D15" s="6" t="n">
        <v>520000</v>
      </c>
      <c r="E15" s="5" t="n">
        <v>657</v>
      </c>
      <c r="F15" s="5" t="n">
        <v>14</v>
      </c>
      <c r="G15" s="6" t="n">
        <v>3000</v>
      </c>
      <c r="H15" s="6" t="n">
        <v>500000</v>
      </c>
      <c r="I15" s="5" t="n">
        <v>7</v>
      </c>
      <c r="J15" s="7" t="n">
        <f aca="false">D15/12</f>
        <v>43333.3333333333</v>
      </c>
      <c r="K15" s="7" t="n">
        <f aca="false">-PMT(Assumptions!$B$2/12,I15*12,H15)</f>
        <v>8430.33657435932</v>
      </c>
      <c r="L15" s="8" t="n">
        <f aca="false">(G15+K15)/J15</f>
        <v>0.26377699786983</v>
      </c>
      <c r="M15" s="9" t="n">
        <f aca="false">H15/D15</f>
        <v>0.961538461538462</v>
      </c>
      <c r="N15" s="4" t="str">
        <f aca="false">IF(E15&gt;=Assumptions!$B$3,"Excellent",IF(E15&gt;=Assumptions!$B$4,"Good",IF(E15&gt;=Assumptions!$B$5,"Fair","Poor")))</f>
        <v>Fair</v>
      </c>
      <c r="O15" s="4" t="str">
        <f aca="false">IF(L15&lt;=Assumptions!$B$6,"Low",IF(L15&lt;=Assumptions!$B$7,"Moderate","High"))</f>
        <v>Low</v>
      </c>
      <c r="P15" s="5" t="s">
        <v>21</v>
      </c>
    </row>
    <row r="16" customFormat="false" ht="15" hidden="false" customHeight="false" outlineLevel="0" collapsed="false">
      <c r="A16" s="4" t="s">
        <v>46</v>
      </c>
      <c r="B16" s="4" t="s">
        <v>47</v>
      </c>
      <c r="C16" s="5" t="n">
        <v>35</v>
      </c>
      <c r="D16" s="6" t="n">
        <v>650000</v>
      </c>
      <c r="E16" s="5" t="n">
        <v>760</v>
      </c>
      <c r="F16" s="5" t="n">
        <v>2</v>
      </c>
      <c r="G16" s="6" t="n">
        <v>0</v>
      </c>
      <c r="H16" s="6" t="n">
        <v>350000</v>
      </c>
      <c r="I16" s="5" t="n">
        <v>7</v>
      </c>
      <c r="J16" s="7" t="n">
        <f aca="false">D16/12</f>
        <v>54166.6666666667</v>
      </c>
      <c r="K16" s="7" t="n">
        <f aca="false">-PMT(Assumptions!$B$2/12,I16*12,H16)</f>
        <v>5901.23560205152</v>
      </c>
      <c r="L16" s="8" t="n">
        <f aca="false">(G16+K16)/J16</f>
        <v>0.108945888037874</v>
      </c>
      <c r="M16" s="9" t="n">
        <f aca="false">H16/D16</f>
        <v>0.538461538461538</v>
      </c>
      <c r="N16" s="4" t="str">
        <f aca="false">IF(E16&gt;=Assumptions!$B$3,"Excellent",IF(E16&gt;=Assumptions!$B$4,"Good",IF(E16&gt;=Assumptions!$B$5,"Fair","Poor")))</f>
        <v>Excellent</v>
      </c>
      <c r="O16" s="4" t="str">
        <f aca="false">IF(L16&lt;=Assumptions!$B$6,"Low",IF(L16&lt;=Assumptions!$B$7,"Moderate","High"))</f>
        <v>Low</v>
      </c>
      <c r="P16" s="5" t="s">
        <v>21</v>
      </c>
    </row>
    <row r="17" customFormat="false" ht="15" hidden="false" customHeight="false" outlineLevel="0" collapsed="false">
      <c r="A17" s="4" t="s">
        <v>48</v>
      </c>
      <c r="B17" s="4" t="s">
        <v>49</v>
      </c>
      <c r="C17" s="5" t="n">
        <v>23</v>
      </c>
      <c r="D17" s="6" t="n">
        <v>500000</v>
      </c>
      <c r="E17" s="5" t="n">
        <v>632</v>
      </c>
      <c r="F17" s="5" t="n">
        <v>0</v>
      </c>
      <c r="G17" s="6" t="n">
        <v>8500</v>
      </c>
      <c r="H17" s="6" t="n">
        <v>500000</v>
      </c>
      <c r="I17" s="5" t="n">
        <v>3</v>
      </c>
      <c r="J17" s="7" t="n">
        <f aca="false">D17/12</f>
        <v>41666.6666666667</v>
      </c>
      <c r="K17" s="7" t="n">
        <f aca="false">-PMT(Assumptions!$B$2/12,I17*12,H17)</f>
        <v>16251.2217523435</v>
      </c>
      <c r="L17" s="8" t="n">
        <f aca="false">(G17+K17)/J17</f>
        <v>0.594029322056243</v>
      </c>
      <c r="M17" s="9" t="n">
        <f aca="false">H17/D17</f>
        <v>1</v>
      </c>
      <c r="N17" s="4" t="str">
        <f aca="false">IF(E17&gt;=Assumptions!$B$3,"Excellent",IF(E17&gt;=Assumptions!$B$4,"Good",IF(E17&gt;=Assumptions!$B$5,"Fair","Poor")))</f>
        <v>Poor</v>
      </c>
      <c r="O17" s="4" t="str">
        <f aca="false">IF(L17&lt;=Assumptions!$B$6,"Low",IF(L17&lt;=Assumptions!$B$7,"Moderate","High"))</f>
        <v>High</v>
      </c>
      <c r="P17" s="5" t="s">
        <v>18</v>
      </c>
    </row>
    <row r="18" customFormat="false" ht="15" hidden="false" customHeight="false" outlineLevel="0" collapsed="false">
      <c r="A18" s="4" t="s">
        <v>50</v>
      </c>
      <c r="B18" s="4" t="s">
        <v>51</v>
      </c>
      <c r="C18" s="5" t="n">
        <v>33</v>
      </c>
      <c r="D18" s="6" t="n">
        <v>1440000</v>
      </c>
      <c r="E18" s="5" t="n">
        <v>664</v>
      </c>
      <c r="F18" s="5" t="n">
        <v>2</v>
      </c>
      <c r="G18" s="6" t="n">
        <v>0</v>
      </c>
      <c r="H18" s="6" t="n">
        <v>2850000</v>
      </c>
      <c r="I18" s="5" t="n">
        <v>3</v>
      </c>
      <c r="J18" s="7" t="n">
        <f aca="false">D18/12</f>
        <v>120000</v>
      </c>
      <c r="K18" s="7" t="n">
        <f aca="false">-PMT(Assumptions!$B$2/12,I18*12,H18)</f>
        <v>92631.9639883577</v>
      </c>
      <c r="L18" s="8" t="n">
        <f aca="false">(G18+K18)/J18</f>
        <v>0.771933033236315</v>
      </c>
      <c r="M18" s="9" t="n">
        <f aca="false">H18/D18</f>
        <v>1.97916666666667</v>
      </c>
      <c r="N18" s="4" t="str">
        <f aca="false">IF(E18&gt;=Assumptions!$B$3,"Excellent",IF(E18&gt;=Assumptions!$B$4,"Good",IF(E18&gt;=Assumptions!$B$5,"Fair","Poor")))</f>
        <v>Fair</v>
      </c>
      <c r="O18" s="4" t="str">
        <f aca="false">IF(L18&lt;=Assumptions!$B$6,"Low",IF(L18&lt;=Assumptions!$B$7,"Moderate","High"))</f>
        <v>High</v>
      </c>
      <c r="P18" s="5" t="s">
        <v>18</v>
      </c>
    </row>
    <row r="19" customFormat="false" ht="15" hidden="false" customHeight="false" outlineLevel="0" collapsed="false">
      <c r="A19" s="4" t="s">
        <v>52</v>
      </c>
      <c r="B19" s="4" t="s">
        <v>53</v>
      </c>
      <c r="C19" s="5" t="n">
        <v>26</v>
      </c>
      <c r="D19" s="6" t="n">
        <v>960000</v>
      </c>
      <c r="E19" s="5" t="n">
        <v>650</v>
      </c>
      <c r="F19" s="5" t="n">
        <v>1</v>
      </c>
      <c r="G19" s="6" t="n">
        <v>9500</v>
      </c>
      <c r="H19" s="6" t="n">
        <v>2600000</v>
      </c>
      <c r="I19" s="5" t="n">
        <v>10</v>
      </c>
      <c r="J19" s="7" t="n">
        <f aca="false">D19/12</f>
        <v>80000</v>
      </c>
      <c r="K19" s="7" t="n">
        <f aca="false">-PMT(Assumptions!$B$2/12,I19*12,H19)</f>
        <v>35083.0991616422</v>
      </c>
      <c r="L19" s="8" t="n">
        <f aca="false">(G19+K19)/J19</f>
        <v>0.557288739520528</v>
      </c>
      <c r="M19" s="9" t="n">
        <f aca="false">H19/D19</f>
        <v>2.70833333333333</v>
      </c>
      <c r="N19" s="4" t="str">
        <f aca="false">IF(E19&gt;=Assumptions!$B$3,"Excellent",IF(E19&gt;=Assumptions!$B$4,"Good",IF(E19&gt;=Assumptions!$B$5,"Fair","Poor")))</f>
        <v>Fair</v>
      </c>
      <c r="O19" s="4" t="str">
        <f aca="false">IF(L19&lt;=Assumptions!$B$6,"Low",IF(L19&lt;=Assumptions!$B$7,"Moderate","High"))</f>
        <v>High</v>
      </c>
      <c r="P19" s="5" t="s">
        <v>18</v>
      </c>
    </row>
    <row r="20" customFormat="false" ht="15" hidden="false" customHeight="false" outlineLevel="0" collapsed="false">
      <c r="A20" s="4" t="s">
        <v>54</v>
      </c>
      <c r="B20" s="4" t="s">
        <v>55</v>
      </c>
      <c r="C20" s="5" t="n">
        <v>30</v>
      </c>
      <c r="D20" s="6" t="n">
        <v>2310000</v>
      </c>
      <c r="E20" s="5" t="n">
        <v>795</v>
      </c>
      <c r="F20" s="5" t="n">
        <v>5</v>
      </c>
      <c r="G20" s="6" t="n">
        <v>22500</v>
      </c>
      <c r="H20" s="6" t="n">
        <v>3000000</v>
      </c>
      <c r="I20" s="5" t="n">
        <v>7</v>
      </c>
      <c r="J20" s="7" t="n">
        <f aca="false">D20/12</f>
        <v>192500</v>
      </c>
      <c r="K20" s="7" t="n">
        <f aca="false">-PMT(Assumptions!$B$2/12,I20*12,H20)</f>
        <v>50582.0194461559</v>
      </c>
      <c r="L20" s="8" t="n">
        <f aca="false">(G20+K20)/J20</f>
        <v>0.379646854265745</v>
      </c>
      <c r="M20" s="9" t="n">
        <f aca="false">H20/D20</f>
        <v>1.2987012987013</v>
      </c>
      <c r="N20" s="4" t="str">
        <f aca="false">IF(E20&gt;=Assumptions!$B$3,"Excellent",IF(E20&gt;=Assumptions!$B$4,"Good",IF(E20&gt;=Assumptions!$B$5,"Fair","Poor")))</f>
        <v>Excellent</v>
      </c>
      <c r="O20" s="4" t="str">
        <f aca="false">IF(L20&lt;=Assumptions!$B$6,"Low",IF(L20&lt;=Assumptions!$B$7,"Moderate","High"))</f>
        <v>Moderate</v>
      </c>
      <c r="P20" s="5" t="s">
        <v>21</v>
      </c>
    </row>
    <row r="21" customFormat="false" ht="15" hidden="false" customHeight="false" outlineLevel="0" collapsed="false">
      <c r="A21" s="4" t="s">
        <v>56</v>
      </c>
      <c r="B21" s="4" t="s">
        <v>57</v>
      </c>
      <c r="C21" s="5" t="n">
        <v>31</v>
      </c>
      <c r="D21" s="6" t="n">
        <v>1070000</v>
      </c>
      <c r="E21" s="5" t="n">
        <v>703</v>
      </c>
      <c r="F21" s="5" t="n">
        <v>9</v>
      </c>
      <c r="G21" s="6" t="n">
        <v>14000</v>
      </c>
      <c r="H21" s="6" t="n">
        <v>1450000</v>
      </c>
      <c r="I21" s="5" t="n">
        <v>15</v>
      </c>
      <c r="J21" s="7" t="n">
        <f aca="false">D21/12</f>
        <v>89166.6666666667</v>
      </c>
      <c r="K21" s="7" t="n">
        <f aca="false">-PMT(Assumptions!$B$2/12,I21*12,H21)</f>
        <v>16028.284393609</v>
      </c>
      <c r="L21" s="8" t="n">
        <f aca="false">(G21+K21)/J21</f>
        <v>0.336765806283465</v>
      </c>
      <c r="M21" s="9" t="n">
        <f aca="false">H21/D21</f>
        <v>1.35514018691589</v>
      </c>
      <c r="N21" s="4" t="str">
        <f aca="false">IF(E21&gt;=Assumptions!$B$3,"Excellent",IF(E21&gt;=Assumptions!$B$4,"Good",IF(E21&gt;=Assumptions!$B$5,"Fair","Poor")))</f>
        <v>Good</v>
      </c>
      <c r="O21" s="4" t="str">
        <f aca="false">IF(L21&lt;=Assumptions!$B$6,"Low",IF(L21&lt;=Assumptions!$B$7,"Moderate","High"))</f>
        <v>Moderate</v>
      </c>
      <c r="P21" s="5" t="s">
        <v>21</v>
      </c>
    </row>
    <row r="23" customFormat="false" ht="15" hidden="false" customHeight="false" outlineLevel="0" collapsed="false">
      <c r="A23" s="10" t="s">
        <v>58</v>
      </c>
    </row>
  </sheetData>
  <dataValidations count="1">
    <dataValidation allowBlank="false" errorStyle="stop" operator="between" showDropDown="false" showErrorMessage="false" showInputMessage="false" sqref="P2:P21" type="list">
      <formula1>"Approved,Rejected"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2"/>
    <col collapsed="false" customWidth="true" hidden="false" outlineLevel="0" max="3" min="3" style="0" width="48"/>
  </cols>
  <sheetData>
    <row r="1" customFormat="false" ht="15" hidden="false" customHeight="false" outlineLevel="0" collapsed="false">
      <c r="A1" s="11" t="s">
        <v>59</v>
      </c>
      <c r="B1" s="11" t="s">
        <v>60</v>
      </c>
      <c r="C1" s="11" t="s">
        <v>61</v>
      </c>
    </row>
    <row r="2" customFormat="false" ht="15" hidden="false" customHeight="false" outlineLevel="0" collapsed="false">
      <c r="A2" s="0" t="s">
        <v>62</v>
      </c>
      <c r="B2" s="12" t="n">
        <v>0.105</v>
      </c>
      <c r="C2" s="13" t="s">
        <v>63</v>
      </c>
    </row>
    <row r="3" customFormat="false" ht="15" hidden="false" customHeight="false" outlineLevel="0" collapsed="false">
      <c r="A3" s="0" t="s">
        <v>64</v>
      </c>
      <c r="B3" s="14" t="n">
        <v>750</v>
      </c>
      <c r="C3" s="13" t="s">
        <v>13</v>
      </c>
    </row>
    <row r="4" customFormat="false" ht="15" hidden="false" customHeight="false" outlineLevel="0" collapsed="false">
      <c r="A4" s="0" t="s">
        <v>65</v>
      </c>
      <c r="B4" s="14" t="n">
        <v>700</v>
      </c>
      <c r="C4" s="13" t="s">
        <v>13</v>
      </c>
    </row>
    <row r="5" customFormat="false" ht="15" hidden="false" customHeight="false" outlineLevel="0" collapsed="false">
      <c r="A5" s="0" t="s">
        <v>66</v>
      </c>
      <c r="B5" s="14" t="n">
        <v>650</v>
      </c>
      <c r="C5" s="13" t="s">
        <v>67</v>
      </c>
    </row>
    <row r="6" customFormat="false" ht="15" hidden="false" customHeight="false" outlineLevel="0" collapsed="false">
      <c r="A6" s="0" t="s">
        <v>68</v>
      </c>
      <c r="B6" s="12" t="n">
        <v>0.3</v>
      </c>
      <c r="C6" s="13" t="s">
        <v>14</v>
      </c>
    </row>
    <row r="7" customFormat="false" ht="15" hidden="false" customHeight="false" outlineLevel="0" collapsed="false">
      <c r="A7" s="0" t="s">
        <v>69</v>
      </c>
      <c r="B7" s="12" t="n">
        <v>0.4</v>
      </c>
      <c r="C7" s="13" t="s">
        <v>70</v>
      </c>
    </row>
    <row r="8" customFormat="false" ht="15" hidden="false" customHeight="false" outlineLevel="0" collapsed="false">
      <c r="A8" s="0" t="s">
        <v>71</v>
      </c>
      <c r="B8" s="14" t="n">
        <v>650</v>
      </c>
      <c r="C8" s="13" t="s">
        <v>72</v>
      </c>
    </row>
    <row r="9" customFormat="false" ht="15" hidden="false" customHeight="false" outlineLevel="0" collapsed="false">
      <c r="A9" s="0" t="s">
        <v>73</v>
      </c>
      <c r="B9" s="12" t="n">
        <v>0.4</v>
      </c>
      <c r="C9" s="13" t="s">
        <v>72</v>
      </c>
    </row>
    <row r="10" customFormat="false" ht="15" hidden="false" customHeight="false" outlineLevel="0" collapsed="false">
      <c r="A10" s="0" t="s">
        <v>74</v>
      </c>
      <c r="B10" s="14" t="n">
        <v>2</v>
      </c>
      <c r="C10" s="13" t="s">
        <v>72</v>
      </c>
    </row>
    <row r="11" customFormat="false" ht="15" hidden="false" customHeight="false" outlineLevel="0" collapsed="false">
      <c r="A11" s="0" t="s">
        <v>75</v>
      </c>
      <c r="B11" s="15" t="n">
        <v>4</v>
      </c>
      <c r="C11" s="13" t="s">
        <v>72</v>
      </c>
    </row>
    <row r="13" customFormat="false" ht="15" hidden="false" customHeight="false" outlineLevel="0" collapsed="false">
      <c r="A13" s="10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2026-10-15T05:54:15Z</dcterms:created>
  <dc:creator>openpyxl</dc:creator>
  <dc:description/>
  <dc:language>en-US</dc:language>
  <cp:lastModifiedBy/>
  <dcterms:modified xsi:type="dcterms:W3CDTF">2026-10-15T05:54:15Z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